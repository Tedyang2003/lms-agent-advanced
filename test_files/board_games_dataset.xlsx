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Gam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<sst xmlns="http://schemas.openxmlformats.org/spreadsheetml/2006/main" count="54" uniqueCount="53">
  <si>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Game</t>
  </si>
  <si>
    <t xml:space="preserve">Publisher</t>
  </si>
  <si>
    <t xml:space="preserve">Year Released</t>
  </si>
  <si>
    <t xml:space="preserve">Players (Min)</t>
  </si>
  <si>
    <t xml:space="preserve">Players (Max)</t>
  </si>
  <si>
    <t xml:space="preserve">Playtime (min)</t>
  </si>
  <si>
    <t xml:space="preserve">Price (USD)</t>
  </si>
  <si>
    <t xml:space="preserve">Rating (out of 10)</t>
  </si>
  <si>
    <t xml:space="preserve">Complexity (1-5)</t>
  </si>
  <si>
    <t xml:space="preserve">Copies Sold (millions)</t>
  </si>
  <si>
    <t xml:space="preserve">Catan</t>
  </si>
  <si>
    <t xml:space="preserve">Kosmos</t>
  </si>
  <si>
    <t xml:space="preserve">Ticket to Ride</t>
  </si>
  <si>
    <t xml:space="preserve">Days of Wonder</t>
  </si>
  <si>
    <t xml:space="preserve">Pandemic</t>
  </si>
  <si>
    <t xml:space="preserve">Z-Man Games</t>
  </si>
  <si>
    <t xml:space="preserve">Codenames</t>
  </si>
  <si>
    <t xml:space="preserve">Czech Games</t>
  </si>
  <si>
    <t xml:space="preserve">Azul</t>
  </si>
  <si>
    <t xml:space="preserve">Plan B Games</t>
  </si>
  <si>
    <t xml:space="preserve">Wingspan</t>
  </si>
  <si>
    <t xml:space="preserve">Stonemaier</t>
  </si>
  <si>
    <t xml:space="preserve">Gloomhaven</t>
  </si>
  <si>
    <t xml:space="preserve">Cephalofair</t>
  </si>
  <si>
    <t xml:space="preserve">Splendor</t>
  </si>
  <si>
    <t xml:space="preserve">Space Cowboys</t>
  </si>
  <si>
    <t xml:space="preserve">Carcassonne</t>
  </si>
  <si>
    <t xml:space="preserve">Hans im Gluck</t>
  </si>
  <si>
    <t xml:space="preserve">7 Wonders</t>
  </si>
  <si>
    <t xml:space="preserve">Repos Prod.</t>
  </si>
  <si>
    <t xml:space="preserve">Terraforming Mars</t>
  </si>
  <si>
    <t xml:space="preserve">FryxGames</t>
  </si>
  <si>
    <t xml:space="preserve">Dominion</t>
  </si>
  <si>
    <t xml:space="preserve">Rio Grande</t>
  </si>
  <si>
    <t xml:space="preserve">King of Tokyo</t>
  </si>
  <si>
    <t xml:space="preserve">IELLO</t>
  </si>
  <si>
    <t xml:space="preserve">Scythe</t>
  </si>
  <si>
    <t xml:space="preserve">Betrayal at House</t>
  </si>
  <si>
    <t xml:space="preserve">Avalon Hill</t>
  </si>
  <si>
    <t xml:space="preserve">Root</t>
  </si>
  <si>
    <t xml:space="preserve">Leder Games</t>
  </si>
  <si>
    <t xml:space="preserve">Star Realms</t>
  </si>
  <si>
    <t xml:space="preserve">White Wizard</t>
  </si>
  <si>
    <t xml:space="preserve">Kingdomino</t>
  </si>
  <si>
    <t xml:space="preserve">Blue Orange</t>
  </si>
  <si>
    <t xml:space="preserve">Summary</t>
  </si>
  <si>
    <t xml:space="preserve">Total games listed</t>
  </si>
  <si>
    <t xml:space="preserve">Average rating</t>
  </si>
  <si>
    <t xml:space="preserve">Average price (USD)</t>
  </si>
  <si>
    <t xml:space="preserve">Highest rated game</t>
  </si>
  <si>
    <t xml:space="preserve">Most complex game</t>
  </si>
  <si>
    <t xml:space="preserve">Total copies sold (millions)</t>
  </si>
  <si>
    <t xml:space="preserve">Average playtime (min)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</si>
</sst>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9" min="6" style="0" width="10"/>
    <col collapsed="false" customWidth="true" hidden="false" outlineLevel="0" max="10" min="10" style="0" width="1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1995</v>
      </c>
      <c r="D2" s="2" t="n">
        <v>3</v>
      </c>
      <c r="E2" s="2" t="n">
        <v>4</v>
      </c>
      <c r="F2" s="2" t="n">
        <v>90</v>
      </c>
      <c r="G2" s="3" t="n">
        <v>44.99</v>
      </c>
      <c r="H2" s="4" t="n">
        <v>7.9</v>
      </c>
      <c r="I2" s="4" t="n">
        <v>2.3</v>
      </c>
      <c r="J2" s="4" t="n">
        <v>32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n">
        <v>2004</v>
      </c>
      <c r="D3" s="2" t="n">
        <v>2</v>
      </c>
      <c r="E3" s="2" t="n">
        <v>5</v>
      </c>
      <c r="F3" s="2" t="n">
        <v>60</v>
      </c>
      <c r="G3" s="3" t="n">
        <v>49.99</v>
      </c>
      <c r="H3" s="4" t="n">
        <v>7.4</v>
      </c>
      <c r="I3" s="4" t="n">
        <v>1.8</v>
      </c>
      <c r="J3" s="4" t="n">
        <v>20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n">
        <v>2008</v>
      </c>
      <c r="D4" s="2" t="n">
        <v>2</v>
      </c>
      <c r="E4" s="2" t="n">
        <v>4</v>
      </c>
      <c r="F4" s="2" t="n">
        <v>45</v>
      </c>
      <c r="G4" s="3" t="n">
        <v>39.99</v>
      </c>
      <c r="H4" s="4" t="n">
        <v>7.6</v>
      </c>
      <c r="I4" s="4" t="n">
        <v>2.4</v>
      </c>
      <c r="J4" s="4" t="n">
        <v>10.5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n">
        <v>2015</v>
      </c>
      <c r="D5" s="2" t="n">
        <v>2</v>
      </c>
      <c r="E5" s="2" t="n">
        <v>8</v>
      </c>
      <c r="F5" s="2" t="n">
        <v>15</v>
      </c>
      <c r="G5" s="3" t="n">
        <v>19.99</v>
      </c>
      <c r="H5" s="4" t="n">
        <v>7.6</v>
      </c>
      <c r="I5" s="4" t="n">
        <v>1.3</v>
      </c>
      <c r="J5" s="4" t="n">
        <v>5.5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n">
        <v>2017</v>
      </c>
      <c r="D6" s="2" t="n">
        <v>2</v>
      </c>
      <c r="E6" s="2" t="n">
        <v>4</v>
      </c>
      <c r="F6" s="2" t="n">
        <v>40</v>
      </c>
      <c r="G6" s="3" t="n">
        <v>34.99</v>
      </c>
      <c r="H6" s="4" t="n">
        <v>7.8</v>
      </c>
      <c r="I6" s="4" t="n">
        <v>1.8</v>
      </c>
      <c r="J6" s="4" t="n">
        <v>3.2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n">
        <v>2019</v>
      </c>
      <c r="D7" s="2" t="n">
        <v>1</v>
      </c>
      <c r="E7" s="2" t="n">
        <v>5</v>
      </c>
      <c r="F7" s="2" t="n">
        <v>70</v>
      </c>
      <c r="G7" s="3" t="n">
        <v>59.99</v>
      </c>
      <c r="H7" s="4" t="n">
        <v>8.1</v>
      </c>
      <c r="I7" s="4" t="n">
        <v>2.4</v>
      </c>
      <c r="J7" s="4" t="n">
        <v>1.6</v>
      </c>
    </row>
    <row r="8" customFormat="false" ht="15" hidden="false" customHeight="false" outlineLevel="0" collapsed="false">
      <c r="A8" s="2" t="s">
        <v>22</v>
      </c>
      <c r="B8" s="2" t="s">
        <v>23</v>
      </c>
      <c r="C8" s="2" t="n">
        <v>2017</v>
      </c>
      <c r="D8" s="2" t="n">
        <v>1</v>
      </c>
      <c r="E8" s="2" t="n">
        <v>4</v>
      </c>
      <c r="F8" s="2" t="n">
        <v>120</v>
      </c>
      <c r="G8" s="3" t="n">
        <v>139.99</v>
      </c>
      <c r="H8" s="4" t="n">
        <v>8.6</v>
      </c>
      <c r="I8" s="4" t="n">
        <v>3.9</v>
      </c>
      <c r="J8" s="4" t="n">
        <v>1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n">
        <v>2014</v>
      </c>
      <c r="D9" s="2" t="n">
        <v>2</v>
      </c>
      <c r="E9" s="2" t="n">
        <v>4</v>
      </c>
      <c r="F9" s="2" t="n">
        <v>30</v>
      </c>
      <c r="G9" s="3" t="n">
        <v>29.99</v>
      </c>
      <c r="H9" s="4" t="n">
        <v>7.4</v>
      </c>
      <c r="I9" s="4" t="n">
        <v>1.8</v>
      </c>
      <c r="J9" s="4" t="n">
        <v>6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n">
        <v>2000</v>
      </c>
      <c r="D10" s="2" t="n">
        <v>2</v>
      </c>
      <c r="E10" s="2" t="n">
        <v>5</v>
      </c>
      <c r="F10" s="2" t="n">
        <v>45</v>
      </c>
      <c r="G10" s="3" t="n">
        <v>34.99</v>
      </c>
      <c r="H10" s="4" t="n">
        <v>7.4</v>
      </c>
      <c r="I10" s="4" t="n">
        <v>1.9</v>
      </c>
      <c r="J10" s="4" t="n">
        <v>15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n">
        <v>2010</v>
      </c>
      <c r="D11" s="2" t="n">
        <v>3</v>
      </c>
      <c r="E11" s="2" t="n">
        <v>7</v>
      </c>
      <c r="F11" s="2" t="n">
        <v>30</v>
      </c>
      <c r="G11" s="3" t="n">
        <v>44.99</v>
      </c>
      <c r="H11" s="4" t="n">
        <v>7.7</v>
      </c>
      <c r="I11" s="4" t="n">
        <v>2.3</v>
      </c>
      <c r="J11" s="4" t="n">
        <v>4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n">
        <v>2016</v>
      </c>
      <c r="D12" s="2" t="n">
        <v>1</v>
      </c>
      <c r="E12" s="2" t="n">
        <v>5</v>
      </c>
      <c r="F12" s="2" t="n">
        <v>120</v>
      </c>
      <c r="G12" s="3" t="n">
        <v>69.99</v>
      </c>
      <c r="H12" s="4" t="n">
        <v>8.4</v>
      </c>
      <c r="I12" s="4" t="n">
        <v>3.2</v>
      </c>
      <c r="J12" s="4" t="n">
        <v>2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n">
        <v>2008</v>
      </c>
      <c r="D13" s="2" t="n">
        <v>2</v>
      </c>
      <c r="E13" s="2" t="n">
        <v>4</v>
      </c>
      <c r="F13" s="2" t="n">
        <v>30</v>
      </c>
      <c r="G13" s="3" t="n">
        <v>34.99</v>
      </c>
      <c r="H13" s="4" t="n">
        <v>7.6</v>
      </c>
      <c r="I13" s="4" t="n">
        <v>2.4</v>
      </c>
      <c r="J13" s="4" t="n">
        <v>5</v>
      </c>
    </row>
    <row r="14" customFormat="false" ht="15" hidden="false" customHeight="false" outlineLevel="0" collapsed="false">
      <c r="A14" s="2" t="s">
        <v>34</v>
      </c>
      <c r="B14" s="2" t="s">
        <v>35</v>
      </c>
      <c r="C14" s="2" t="n">
        <v>2011</v>
      </c>
      <c r="D14" s="2" t="n">
        <v>2</v>
      </c>
      <c r="E14" s="2" t="n">
        <v>6</v>
      </c>
      <c r="F14" s="2" t="n">
        <v>30</v>
      </c>
      <c r="G14" s="3" t="n">
        <v>39.99</v>
      </c>
      <c r="H14" s="4" t="n">
        <v>7.3</v>
      </c>
      <c r="I14" s="4" t="n">
        <v>1.6</v>
      </c>
      <c r="J14" s="4" t="n">
        <v>3</v>
      </c>
    </row>
    <row r="15" customFormat="false" ht="15" hidden="false" customHeight="false" outlineLevel="0" collapsed="false">
      <c r="A15" s="2" t="s">
        <v>36</v>
      </c>
      <c r="B15" s="2" t="s">
        <v>21</v>
      </c>
      <c r="C15" s="2" t="n">
        <v>2016</v>
      </c>
      <c r="D15" s="2" t="n">
        <v>1</v>
      </c>
      <c r="E15" s="2" t="n">
        <v>5</v>
      </c>
      <c r="F15" s="2" t="n">
        <v>115</v>
      </c>
      <c r="G15" s="3" t="n">
        <v>79.99</v>
      </c>
      <c r="H15" s="4" t="n">
        <v>8.2</v>
      </c>
      <c r="I15" s="4" t="n">
        <v>3.4</v>
      </c>
      <c r="J15" s="4" t="n">
        <v>1.8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n">
        <v>2004</v>
      </c>
      <c r="D16" s="2" t="n">
        <v>3</v>
      </c>
      <c r="E16" s="2" t="n">
        <v>6</v>
      </c>
      <c r="F16" s="2" t="n">
        <v>60</v>
      </c>
      <c r="G16" s="3" t="n">
        <v>44.99</v>
      </c>
      <c r="H16" s="4" t="n">
        <v>7.1</v>
      </c>
      <c r="I16" s="4" t="n">
        <v>2.2</v>
      </c>
      <c r="J16" s="4" t="n">
        <v>2.5</v>
      </c>
    </row>
    <row r="17" customFormat="false" ht="15" hidden="false" customHeight="false" outlineLevel="0" collapsed="false">
      <c r="A17" s="2" t="s">
        <v>39</v>
      </c>
      <c r="B17" s="2" t="s">
        <v>40</v>
      </c>
      <c r="C17" s="2" t="n">
        <v>2018</v>
      </c>
      <c r="D17" s="2" t="n">
        <v>2</v>
      </c>
      <c r="E17" s="2" t="n">
        <v>4</v>
      </c>
      <c r="F17" s="2" t="n">
        <v>90</v>
      </c>
      <c r="G17" s="3" t="n">
        <v>59.99</v>
      </c>
      <c r="H17" s="4" t="n">
        <v>8.1</v>
      </c>
      <c r="I17" s="4" t="n">
        <v>3.7</v>
      </c>
      <c r="J17" s="4" t="n">
        <v>0.8</v>
      </c>
    </row>
    <row r="18" customFormat="false" ht="15" hidden="false" customHeight="false" outlineLevel="0" collapsed="false">
      <c r="A18" s="2" t="s">
        <v>41</v>
      </c>
      <c r="B18" s="2" t="s">
        <v>42</v>
      </c>
      <c r="C18" s="2" t="n">
        <v>2014</v>
      </c>
      <c r="D18" s="2" t="n">
        <v>2</v>
      </c>
      <c r="E18" s="2" t="n">
        <v>2</v>
      </c>
      <c r="F18" s="2" t="n">
        <v>20</v>
      </c>
      <c r="G18" s="3" t="n">
        <v>14.99</v>
      </c>
      <c r="H18" s="4" t="n">
        <v>8</v>
      </c>
      <c r="I18" s="4" t="n">
        <v>1.6</v>
      </c>
      <c r="J18" s="4" t="n">
        <v>2</v>
      </c>
    </row>
    <row r="19" customFormat="false" ht="15" hidden="false" customHeight="false" outlineLevel="0" collapsed="false">
      <c r="A19" s="2" t="s">
        <v>43</v>
      </c>
      <c r="B19" s="2" t="s">
        <v>44</v>
      </c>
      <c r="C19" s="2" t="n">
        <v>2016</v>
      </c>
      <c r="D19" s="2" t="n">
        <v>2</v>
      </c>
      <c r="E19" s="2" t="n">
        <v>4</v>
      </c>
      <c r="F19" s="2" t="n">
        <v>20</v>
      </c>
      <c r="G19" s="3" t="n">
        <v>24.99</v>
      </c>
      <c r="H19" s="4" t="n">
        <v>7.5</v>
      </c>
      <c r="I19" s="4" t="n">
        <v>1.2</v>
      </c>
      <c r="J19" s="4" t="n">
        <v>2.2</v>
      </c>
    </row>
    <row r="22" customFormat="false" ht="15" hidden="false" customHeight="false" outlineLevel="0" collapsed="false">
      <c r="A22" s="5" t="s">
        <v>45</v>
      </c>
    </row>
    <row r="23" customFormat="false" ht="15" hidden="false" customHeight="false" outlineLevel="0" collapsed="false">
      <c r="A23" s="6" t="s">
        <v>46</v>
      </c>
      <c r="B23" s="7" t="n">
        <f aca="false">COUNTA(A2:A19)</f>
        <v>18</v>
      </c>
    </row>
    <row r="24" customFormat="false" ht="15" hidden="false" customHeight="false" outlineLevel="0" collapsed="false">
      <c r="A24" s="6" t="s">
        <v>47</v>
      </c>
      <c r="B24" s="8" t="n">
        <f aca="false">AVERAGE(H2:H19)</f>
        <v>7.76111111111111</v>
      </c>
    </row>
    <row r="25" customFormat="false" ht="15" hidden="false" customHeight="false" outlineLevel="0" collapsed="false">
      <c r="A25" s="6" t="s">
        <v>48</v>
      </c>
      <c r="B25" s="9" t="n">
        <f aca="false">AVERAGE(G2:G19)</f>
        <v>48.3233333333333</v>
      </c>
    </row>
    <row r="26" customFormat="false" ht="15" hidden="false" customHeight="false" outlineLevel="0" collapsed="false">
      <c r="A26" s="6" t="s">
        <v>49</v>
      </c>
      <c r="B26" s="7" t="str">
        <f aca="false">INDEX(A2:A19, MATCH(MAX(H2:H19), H2:H19, 0))</f>
        <v>Gloomhaven</v>
      </c>
    </row>
    <row r="27" customFormat="false" ht="15" hidden="false" customHeight="false" outlineLevel="0" collapsed="false">
      <c r="A27" s="6" t="s">
        <v>50</v>
      </c>
      <c r="B27" s="7" t="str">
        <f aca="false">INDEX(A2:A19, MATCH(MAX(I2:I19), I2:I19, 0))</f>
        <v>Gloomhaven</v>
      </c>
    </row>
    <row r="28" customFormat="false" ht="15" hidden="false" customHeight="false" outlineLevel="0" collapsed="false">
      <c r="A28" s="6" t="s">
        <v>51</v>
      </c>
      <c r="B28" s="7" t="n">
        <f aca="false">SUM(J2:J19)</f>
        <v>118.1</v>
      </c>
    </row>
    <row r="29" customFormat="false" ht="15" hidden="false" customHeight="false" outlineLevel="0" collapsed="false">
      <c r="A29" s="6" t="s">
        <v>52</v>
      </c>
      <c r="B29" s="8" t="n">
        <f aca="false">AVERAGE(F2:F19)</f>
        <v>57.2222222222222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2026-07-05T08:22:13Z</dcterms:created>
  <dc:creator>openpyxl</dc:creator>
  <dc:description/>
  <dc:language>en-US</dc:language>
  <cp:lastModifiedBy/>
  <dcterms:modified xsi:type="dcterms:W3CDTF">2026-07-05T08:22:13Z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